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\Qunova\포스코\양자이득 정부과제\2단계\2차년도\cabon capture_story1\논문 작성\"/>
    </mc:Choice>
  </mc:AlternateContent>
  <xr:revisionPtr revIDLastSave="0" documentId="13_ncr:1_{0196E809-4ACE-4AE5-99C5-01B491C278B1}" xr6:coauthVersionLast="47" xr6:coauthVersionMax="47" xr10:uidLastSave="{00000000-0000-0000-0000-000000000000}"/>
  <bookViews>
    <workbookView xWindow="2340" yWindow="2340" windowWidth="22680" windowHeight="12420" xr2:uid="{69B4D115-2973-446F-901A-01C0E475037D}"/>
  </bookViews>
  <sheets>
    <sheet name="DMAB" sheetId="1" r:id="rId1"/>
    <sheet name="DEAE" sheetId="2" r:id="rId2"/>
    <sheet name="TMPAD" sheetId="3" r:id="rId3"/>
    <sheet name="3DMA1P" sheetId="4" r:id="rId4"/>
    <sheet name="DEA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5" l="1"/>
  <c r="N9" i="5"/>
  <c r="N10" i="5"/>
  <c r="N11" i="5"/>
  <c r="N12" i="5"/>
  <c r="N13" i="5"/>
  <c r="N14" i="5"/>
  <c r="N15" i="5"/>
  <c r="N16" i="5"/>
  <c r="N7" i="5"/>
  <c r="I8" i="5"/>
  <c r="I9" i="5"/>
  <c r="I10" i="5"/>
  <c r="I11" i="5"/>
  <c r="I12" i="5"/>
  <c r="I13" i="5"/>
  <c r="I14" i="5"/>
  <c r="I15" i="5"/>
  <c r="I16" i="5"/>
  <c r="I7" i="5"/>
  <c r="D8" i="5"/>
  <c r="D9" i="5"/>
  <c r="D10" i="5"/>
  <c r="D11" i="5"/>
  <c r="D12" i="5"/>
  <c r="D13" i="5"/>
  <c r="D14" i="5"/>
  <c r="D15" i="5"/>
  <c r="D16" i="5"/>
  <c r="D7" i="5"/>
  <c r="N8" i="4"/>
  <c r="N9" i="4"/>
  <c r="N10" i="4"/>
  <c r="N11" i="4"/>
  <c r="N12" i="4"/>
  <c r="N13" i="4"/>
  <c r="N14" i="4"/>
  <c r="N15" i="4"/>
  <c r="N16" i="4"/>
  <c r="N7" i="4"/>
  <c r="I8" i="4"/>
  <c r="I9" i="4"/>
  <c r="I10" i="4"/>
  <c r="I11" i="4"/>
  <c r="I12" i="4"/>
  <c r="I13" i="4"/>
  <c r="I14" i="4"/>
  <c r="I15" i="4"/>
  <c r="I16" i="4"/>
  <c r="I7" i="4"/>
  <c r="D8" i="4"/>
  <c r="D9" i="4"/>
  <c r="D10" i="4"/>
  <c r="D11" i="4"/>
  <c r="D12" i="4"/>
  <c r="D13" i="4"/>
  <c r="D14" i="4"/>
  <c r="D15" i="4"/>
  <c r="D16" i="4"/>
  <c r="D7" i="4"/>
  <c r="N8" i="3"/>
  <c r="N9" i="3"/>
  <c r="N10" i="3"/>
  <c r="N11" i="3"/>
  <c r="N12" i="3"/>
  <c r="N13" i="3"/>
  <c r="N14" i="3"/>
  <c r="N15" i="3"/>
  <c r="N16" i="3"/>
  <c r="N7" i="3"/>
  <c r="I8" i="3"/>
  <c r="I9" i="3"/>
  <c r="I10" i="3"/>
  <c r="I11" i="3"/>
  <c r="I12" i="3"/>
  <c r="I13" i="3"/>
  <c r="I14" i="3"/>
  <c r="I15" i="3"/>
  <c r="I16" i="3"/>
  <c r="I7" i="3"/>
  <c r="D8" i="3"/>
  <c r="D9" i="3"/>
  <c r="D10" i="3"/>
  <c r="D11" i="3"/>
  <c r="D12" i="3"/>
  <c r="D13" i="3"/>
  <c r="D14" i="3"/>
  <c r="D15" i="3"/>
  <c r="D16" i="3"/>
  <c r="D7" i="3"/>
  <c r="N8" i="2"/>
  <c r="N9" i="2"/>
  <c r="N10" i="2"/>
  <c r="N11" i="2"/>
  <c r="N12" i="2"/>
  <c r="N13" i="2"/>
  <c r="N14" i="2"/>
  <c r="N15" i="2"/>
  <c r="N16" i="2"/>
  <c r="N7" i="2"/>
  <c r="I8" i="2"/>
  <c r="I9" i="2"/>
  <c r="I10" i="2"/>
  <c r="I11" i="2"/>
  <c r="I12" i="2"/>
  <c r="I13" i="2"/>
  <c r="I14" i="2"/>
  <c r="I15" i="2"/>
  <c r="I16" i="2"/>
  <c r="I7" i="2"/>
  <c r="D8" i="2"/>
  <c r="D9" i="2"/>
  <c r="D10" i="2"/>
  <c r="D11" i="2"/>
  <c r="D12" i="2"/>
  <c r="D13" i="2"/>
  <c r="D14" i="2"/>
  <c r="D15" i="2"/>
  <c r="D16" i="2"/>
  <c r="D7" i="2"/>
  <c r="D22" i="1"/>
  <c r="D23" i="1"/>
  <c r="D24" i="1"/>
  <c r="D25" i="1"/>
  <c r="D26" i="1"/>
  <c r="D27" i="1"/>
  <c r="D28" i="1"/>
  <c r="D29" i="1"/>
  <c r="D30" i="1"/>
  <c r="D21" i="1"/>
  <c r="I8" i="1"/>
  <c r="I9" i="1"/>
  <c r="I10" i="1"/>
  <c r="I11" i="1"/>
  <c r="I12" i="1"/>
  <c r="I13" i="1"/>
  <c r="I14" i="1"/>
  <c r="I15" i="1"/>
  <c r="I16" i="1"/>
  <c r="I7" i="1"/>
  <c r="D8" i="1"/>
  <c r="D9" i="1"/>
  <c r="D10" i="1"/>
  <c r="D11" i="1"/>
  <c r="D12" i="1"/>
  <c r="D13" i="1"/>
  <c r="D14" i="1"/>
  <c r="D15" i="1"/>
  <c r="D16" i="1"/>
  <c r="D7" i="1"/>
</calcChain>
</file>

<file path=xl/sharedStrings.xml><?xml version="1.0" encoding="utf-8"?>
<sst xmlns="http://schemas.openxmlformats.org/spreadsheetml/2006/main" count="60" uniqueCount="13">
  <si>
    <t>iteration</t>
    <phoneticPr fontId="1" type="noConversion"/>
  </si>
  <si>
    <t>reactant</t>
    <phoneticPr fontId="1" type="noConversion"/>
  </si>
  <si>
    <t>DMRG-CASCI</t>
    <phoneticPr fontId="1" type="noConversion"/>
  </si>
  <si>
    <t>error</t>
    <phoneticPr fontId="1" type="noConversion"/>
  </si>
  <si>
    <t>Transition</t>
    <phoneticPr fontId="1" type="noConversion"/>
  </si>
  <si>
    <t>Product</t>
    <phoneticPr fontId="1" type="noConversion"/>
  </si>
  <si>
    <t>reactant(Ha)</t>
    <phoneticPr fontId="1" type="noConversion"/>
  </si>
  <si>
    <t>DMRG-CASCI(Ha)</t>
    <phoneticPr fontId="1" type="noConversion"/>
  </si>
  <si>
    <t>error(mHa)</t>
    <phoneticPr fontId="1" type="noConversion"/>
  </si>
  <si>
    <t>Transition(Ha)</t>
    <phoneticPr fontId="1" type="noConversion"/>
  </si>
  <si>
    <t>product(Ha)</t>
    <phoneticPr fontId="1" type="noConversion"/>
  </si>
  <si>
    <t>error(Ha)</t>
    <phoneticPr fontId="1" type="noConversion"/>
  </si>
  <si>
    <t>Product(Ha)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</si>
</sst>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onsolas"/>
      <family val="3"/>
    </font>
    <font>
      <sz val="11"/>
      <name val="맑은 고딕"/>
      <family val="2"/>
      <charset val="129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7431-5FE8-4712-9279-AD9A6298080E}">
  <dimension ref="A6:I30"/>
  <sheetViews>
    <sheetView tabSelected="1" topLeftCell="A13" workbookViewId="0">
      <selection activeCell="G27" sqref="G27"/>
    </sheetView>
  </sheetViews>
  <sheetFormatPr defaultRowHeight="16.5"/>
  <cols>
    <col min="1" max="14" width="13.375" customWidth="1"/>
  </cols>
  <sheetData>
    <row r="6" spans="1:9">
      <c r="A6" s="2" t="s">
        <v>0</v>
      </c>
      <c r="B6" s="2" t="s">
        <v>6</v>
      </c>
      <c r="C6" s="2" t="s">
        <v>7</v>
      </c>
      <c r="D6" s="2" t="s">
        <v>11</v>
      </c>
      <c r="F6" s="5" t="s">
        <v>0</v>
      </c>
      <c r="G6" s="5" t="s">
        <v>9</v>
      </c>
      <c r="H6" s="5" t="s">
        <v>7</v>
      </c>
      <c r="I6" s="5" t="s">
        <v>11</v>
      </c>
    </row>
    <row r="7" spans="1:9">
      <c r="A7" s="2">
        <v>1</v>
      </c>
      <c r="B7" s="2">
        <v>-629.21425127664202</v>
      </c>
      <c r="C7" s="2">
        <v>-629.81850129999998</v>
      </c>
      <c r="D7" s="2">
        <f>ABS(C7-B7)*1000</f>
        <v>604.25002335796307</v>
      </c>
      <c r="F7" s="5">
        <v>1</v>
      </c>
      <c r="G7" s="5">
        <v>-629.16727714710601</v>
      </c>
      <c r="H7" s="6">
        <v>-629.80697121949504</v>
      </c>
      <c r="I7" s="5">
        <f>ABS(H7-G7)*1000</f>
        <v>639.69407238903386</v>
      </c>
    </row>
    <row r="8" spans="1:9">
      <c r="A8" s="2">
        <v>2</v>
      </c>
      <c r="B8" s="2">
        <v>-629.79063336575905</v>
      </c>
      <c r="C8" s="2">
        <v>-629.81850129999998</v>
      </c>
      <c r="D8" s="2">
        <f t="shared" ref="D8:D16" si="0">ABS(C8-B8)*1000</f>
        <v>27.867934240930481</v>
      </c>
      <c r="F8" s="5">
        <v>2</v>
      </c>
      <c r="G8" s="5">
        <v>-629.76074494104705</v>
      </c>
      <c r="H8" s="6">
        <v>-629.80697121949504</v>
      </c>
      <c r="I8" s="5">
        <f t="shared" ref="I8:I16" si="1">ABS(H8-G8)*1000</f>
        <v>46.226278447988989</v>
      </c>
    </row>
    <row r="9" spans="1:9">
      <c r="A9" s="2">
        <v>3</v>
      </c>
      <c r="B9" s="2">
        <v>-629.81160468206394</v>
      </c>
      <c r="C9" s="2">
        <v>-629.81850129999998</v>
      </c>
      <c r="D9" s="2">
        <f t="shared" si="0"/>
        <v>6.8966179360359092</v>
      </c>
      <c r="F9" s="5">
        <v>3</v>
      </c>
      <c r="G9" s="5">
        <v>-629.796772792046</v>
      </c>
      <c r="H9" s="6">
        <v>-629.80697121949504</v>
      </c>
      <c r="I9" s="5">
        <f t="shared" si="1"/>
        <v>10.198427449040537</v>
      </c>
    </row>
    <row r="10" spans="1:9">
      <c r="A10" s="2">
        <v>4</v>
      </c>
      <c r="B10" s="2">
        <v>-629.81669044995897</v>
      </c>
      <c r="C10" s="2">
        <v>-629.81850129999998</v>
      </c>
      <c r="D10" s="2">
        <f t="shared" si="0"/>
        <v>1.8108500410107808</v>
      </c>
      <c r="F10" s="5">
        <v>4</v>
      </c>
      <c r="G10" s="5">
        <v>-629.80455355361198</v>
      </c>
      <c r="H10" s="6">
        <v>-629.80697121949504</v>
      </c>
      <c r="I10" s="5">
        <f t="shared" si="1"/>
        <v>2.4176658830583619</v>
      </c>
    </row>
    <row r="11" spans="1:9">
      <c r="A11" s="2">
        <v>5</v>
      </c>
      <c r="B11" s="2">
        <v>-629.81798989808203</v>
      </c>
      <c r="C11" s="2">
        <v>-629.81850129999998</v>
      </c>
      <c r="D11" s="2">
        <f t="shared" si="0"/>
        <v>0.51140191794729617</v>
      </c>
      <c r="F11" s="5">
        <v>5</v>
      </c>
      <c r="G11" s="5">
        <v>-629.80630781644504</v>
      </c>
      <c r="H11" s="6">
        <v>-629.80697121949504</v>
      </c>
      <c r="I11" s="5">
        <f t="shared" si="1"/>
        <v>0.66340304999812361</v>
      </c>
    </row>
    <row r="12" spans="1:9">
      <c r="A12" s="2">
        <v>6</v>
      </c>
      <c r="B12" s="2">
        <v>-629.81832852794901</v>
      </c>
      <c r="C12" s="2">
        <v>-629.81850129999998</v>
      </c>
      <c r="D12" s="2">
        <f t="shared" si="0"/>
        <v>0.1727720509734354</v>
      </c>
      <c r="F12" s="5">
        <v>6</v>
      </c>
      <c r="G12" s="5">
        <v>-629.80672412731997</v>
      </c>
      <c r="H12" s="6">
        <v>-629.80697121949504</v>
      </c>
      <c r="I12" s="5">
        <f t="shared" si="1"/>
        <v>0.24709217507279391</v>
      </c>
    </row>
    <row r="13" spans="1:9">
      <c r="A13" s="2">
        <v>7</v>
      </c>
      <c r="B13" s="2">
        <v>-629.81842047344298</v>
      </c>
      <c r="C13" s="2">
        <v>-629.81850129999998</v>
      </c>
      <c r="D13" s="2">
        <f t="shared" si="0"/>
        <v>8.0826556995816645E-2</v>
      </c>
      <c r="F13" s="5">
        <v>7</v>
      </c>
      <c r="G13" s="5">
        <v>-629.80682896344194</v>
      </c>
      <c r="H13" s="6">
        <v>-629.80697121949504</v>
      </c>
      <c r="I13" s="5">
        <f t="shared" si="1"/>
        <v>0.14225605309547973</v>
      </c>
    </row>
    <row r="14" spans="1:9">
      <c r="A14" s="2">
        <v>8</v>
      </c>
      <c r="B14" s="2">
        <v>-629.81844696153803</v>
      </c>
      <c r="C14" s="2">
        <v>-629.81850129999998</v>
      </c>
      <c r="D14" s="2">
        <f t="shared" si="0"/>
        <v>5.4338461950464989E-2</v>
      </c>
      <c r="F14" s="5">
        <v>8</v>
      </c>
      <c r="G14" s="5">
        <v>-629.80685836487203</v>
      </c>
      <c r="H14" s="6">
        <v>-629.80697121949504</v>
      </c>
      <c r="I14" s="5">
        <f t="shared" si="1"/>
        <v>0.11285462301202642</v>
      </c>
    </row>
    <row r="15" spans="1:9">
      <c r="A15" s="2">
        <v>9</v>
      </c>
      <c r="B15" s="2">
        <v>-629.818455137858</v>
      </c>
      <c r="C15" s="2">
        <v>-629.81850129999998</v>
      </c>
      <c r="D15" s="2">
        <f t="shared" si="0"/>
        <v>4.6162141984495975E-2</v>
      </c>
      <c r="F15" s="5">
        <v>9</v>
      </c>
      <c r="G15" s="5">
        <v>-629.80686894037399</v>
      </c>
      <c r="H15" s="6">
        <v>-629.80697121949504</v>
      </c>
      <c r="I15" s="5">
        <f t="shared" si="1"/>
        <v>0.1022791210516516</v>
      </c>
    </row>
    <row r="16" spans="1:9">
      <c r="A16" s="2">
        <v>10</v>
      </c>
      <c r="B16" s="2">
        <v>-629.81845849221304</v>
      </c>
      <c r="C16" s="2">
        <v>-629.81850129999998</v>
      </c>
      <c r="D16" s="2">
        <f t="shared" si="0"/>
        <v>4.2807786940102233E-2</v>
      </c>
      <c r="F16" s="5">
        <v>10</v>
      </c>
      <c r="G16" s="5">
        <v>-629.80687360446098</v>
      </c>
      <c r="H16" s="6">
        <v>-629.80697121949504</v>
      </c>
      <c r="I16" s="5">
        <f t="shared" si="1"/>
        <v>9.7615034064801876E-2</v>
      </c>
    </row>
    <row r="20" spans="1:4">
      <c r="A20" s="5" t="s">
        <v>0</v>
      </c>
      <c r="B20" s="5" t="s">
        <v>12</v>
      </c>
      <c r="C20" s="5" t="s">
        <v>7</v>
      </c>
      <c r="D20" s="5" t="s">
        <v>11</v>
      </c>
    </row>
    <row r="21" spans="1:4">
      <c r="A21" s="5">
        <v>1</v>
      </c>
      <c r="B21" s="5">
        <v>-629.14943453946398</v>
      </c>
      <c r="C21" s="6">
        <v>-629.88795963948905</v>
      </c>
      <c r="D21" s="5">
        <f>ABS(C21-B21)*1000</f>
        <v>738.52510002507188</v>
      </c>
    </row>
    <row r="22" spans="1:4">
      <c r="A22" s="5">
        <v>2</v>
      </c>
      <c r="B22" s="5">
        <v>-629.819940419815</v>
      </c>
      <c r="C22" s="6">
        <v>-629.88795963948905</v>
      </c>
      <c r="D22" s="5">
        <f t="shared" ref="D22:D30" si="2">ABS(C22-B22)*1000</f>
        <v>68.01921967405633</v>
      </c>
    </row>
    <row r="23" spans="1:4">
      <c r="A23" s="5">
        <v>3</v>
      </c>
      <c r="B23" s="5">
        <v>-629.87196026193101</v>
      </c>
      <c r="C23" s="6">
        <v>-629.88795963948905</v>
      </c>
      <c r="D23" s="5">
        <f t="shared" si="2"/>
        <v>15.999377558046035</v>
      </c>
    </row>
    <row r="24" spans="1:4">
      <c r="A24" s="5">
        <v>4</v>
      </c>
      <c r="B24" s="5">
        <v>-629.88411696558899</v>
      </c>
      <c r="C24" s="6">
        <v>-629.88795963948905</v>
      </c>
      <c r="D24" s="5">
        <f t="shared" si="2"/>
        <v>3.8426739000669841</v>
      </c>
    </row>
    <row r="25" spans="1:4">
      <c r="A25" s="5">
        <v>5</v>
      </c>
      <c r="B25" s="5">
        <v>-629.88693681894495</v>
      </c>
      <c r="C25" s="6">
        <v>-629.88795963948905</v>
      </c>
      <c r="D25" s="5">
        <f t="shared" si="2"/>
        <v>1.0228205441080718</v>
      </c>
    </row>
    <row r="26" spans="1:4">
      <c r="A26" s="5">
        <v>6</v>
      </c>
      <c r="B26" s="5">
        <v>-629.88758973453002</v>
      </c>
      <c r="C26" s="6">
        <v>-629.88795963948905</v>
      </c>
      <c r="D26" s="5">
        <f t="shared" si="2"/>
        <v>0.36990495902955445</v>
      </c>
    </row>
    <row r="27" spans="1:4">
      <c r="A27" s="5">
        <v>7</v>
      </c>
      <c r="B27" s="5">
        <v>-629.88774767529196</v>
      </c>
      <c r="C27" s="6">
        <v>-629.88795963948905</v>
      </c>
      <c r="D27" s="5">
        <f t="shared" si="2"/>
        <v>0.21196419709212933</v>
      </c>
    </row>
    <row r="28" spans="1:4">
      <c r="A28" s="5">
        <v>8</v>
      </c>
      <c r="B28" s="5">
        <v>-629.88778655257204</v>
      </c>
      <c r="C28" s="6">
        <v>-629.88795963948905</v>
      </c>
      <c r="D28" s="5">
        <f t="shared" si="2"/>
        <v>0.17308691701600765</v>
      </c>
    </row>
    <row r="29" spans="1:4">
      <c r="A29" s="5">
        <v>9</v>
      </c>
      <c r="B29" s="5">
        <v>-629.88779731350201</v>
      </c>
      <c r="C29" s="6">
        <v>-629.88795963948905</v>
      </c>
      <c r="D29" s="5">
        <f t="shared" si="2"/>
        <v>0.16232598704846168</v>
      </c>
    </row>
    <row r="30" spans="1:4">
      <c r="A30" s="5">
        <v>10</v>
      </c>
      <c r="B30" s="5">
        <v>-629.88780115837096</v>
      </c>
      <c r="C30" s="6">
        <v>-629.88795963948905</v>
      </c>
      <c r="D30" s="5">
        <f t="shared" si="2"/>
        <v>0.15848111809191323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A71B-66FB-454E-96C1-D515985C8934}">
  <dimension ref="A6:N16"/>
  <sheetViews>
    <sheetView topLeftCell="B1" workbookViewId="0">
      <selection activeCell="L20" sqref="L20"/>
    </sheetView>
  </sheetViews>
  <sheetFormatPr defaultRowHeight="16.5"/>
  <cols>
    <col min="1" max="14" width="13.375" customWidth="1"/>
  </cols>
  <sheetData>
    <row r="6" spans="1:14">
      <c r="A6" s="3" t="s">
        <v>0</v>
      </c>
      <c r="B6" s="3" t="s">
        <v>6</v>
      </c>
      <c r="C6" s="3" t="s">
        <v>7</v>
      </c>
      <c r="D6" s="3" t="s">
        <v>8</v>
      </c>
      <c r="F6" s="2" t="s">
        <v>0</v>
      </c>
      <c r="G6" s="2" t="s">
        <v>9</v>
      </c>
      <c r="H6" s="2" t="s">
        <v>7</v>
      </c>
      <c r="I6" s="2" t="s">
        <v>8</v>
      </c>
      <c r="K6" s="2" t="s">
        <v>0</v>
      </c>
      <c r="L6" s="2" t="s">
        <v>10</v>
      </c>
      <c r="M6" s="2" t="s">
        <v>7</v>
      </c>
      <c r="N6" s="2" t="s">
        <v>8</v>
      </c>
    </row>
    <row r="7" spans="1:14">
      <c r="A7" s="3">
        <v>1</v>
      </c>
      <c r="B7" s="3">
        <v>-629.20641730416799</v>
      </c>
      <c r="C7" s="4">
        <v>-629.80087268428997</v>
      </c>
      <c r="D7" s="3">
        <f>ABS(C7-B7)*1000</f>
        <v>594.4553801219854</v>
      </c>
      <c r="F7" s="2">
        <v>1</v>
      </c>
      <c r="G7" s="2">
        <v>-629.15921823164501</v>
      </c>
      <c r="H7" s="1">
        <v>-629.79418992373598</v>
      </c>
      <c r="I7" s="2">
        <f>ABS(H7-G7)*1000</f>
        <v>634.97169209097137</v>
      </c>
      <c r="K7" s="2">
        <v>1</v>
      </c>
      <c r="L7" s="2">
        <v>-629.14109492809803</v>
      </c>
      <c r="M7" s="1">
        <v>-629.87260388368099</v>
      </c>
      <c r="N7" s="2">
        <f>ABS(M7-L7)*1000</f>
        <v>731.50895558296725</v>
      </c>
    </row>
    <row r="8" spans="1:14">
      <c r="A8" s="3">
        <v>2</v>
      </c>
      <c r="B8" s="3">
        <v>-629.774583835508</v>
      </c>
      <c r="C8" s="4">
        <v>-629.80087268428997</v>
      </c>
      <c r="D8" s="3">
        <f t="shared" ref="D8:D16" si="0">ABS(C8-B8)*1000</f>
        <v>26.288848781973684</v>
      </c>
      <c r="F8" s="2">
        <v>2</v>
      </c>
      <c r="G8" s="2">
        <v>-629.74955614294004</v>
      </c>
      <c r="H8" s="1">
        <v>-629.79418992373598</v>
      </c>
      <c r="I8" s="2">
        <f t="shared" ref="I8:I16" si="1">ABS(H8-G8)*1000</f>
        <v>44.633780795948041</v>
      </c>
      <c r="K8" s="2">
        <v>2</v>
      </c>
      <c r="L8" s="2">
        <v>-629.80810147673799</v>
      </c>
      <c r="M8" s="1">
        <v>-629.87260388368099</v>
      </c>
      <c r="N8" s="2">
        <f t="shared" ref="N8:N16" si="2">ABS(M8-L8)*1000</f>
        <v>64.502406943006463</v>
      </c>
    </row>
    <row r="9" spans="1:14">
      <c r="A9" s="3">
        <v>3</v>
      </c>
      <c r="B9" s="3">
        <v>-629.79438420637803</v>
      </c>
      <c r="C9" s="4">
        <v>-629.80087268428997</v>
      </c>
      <c r="D9" s="3">
        <f t="shared" si="0"/>
        <v>6.4884779119438463</v>
      </c>
      <c r="F9" s="2">
        <v>3</v>
      </c>
      <c r="G9" s="2">
        <v>-629.78468060465696</v>
      </c>
      <c r="H9" s="1">
        <v>-629.79418992373598</v>
      </c>
      <c r="I9" s="2">
        <f t="shared" si="1"/>
        <v>9.5093190790294102</v>
      </c>
      <c r="K9" s="2">
        <v>3</v>
      </c>
      <c r="L9" s="2">
        <v>-629.85739292584003</v>
      </c>
      <c r="M9" s="1">
        <v>-629.87260388368099</v>
      </c>
      <c r="N9" s="2">
        <f t="shared" si="2"/>
        <v>15.210957840963601</v>
      </c>
    </row>
    <row r="10" spans="1:14">
      <c r="A10" s="3">
        <v>4</v>
      </c>
      <c r="B10" s="3">
        <v>-629.79916880620999</v>
      </c>
      <c r="C10" s="4">
        <v>-629.80087268428997</v>
      </c>
      <c r="D10" s="3">
        <f t="shared" si="0"/>
        <v>1.703878079979404</v>
      </c>
      <c r="F10" s="2">
        <v>4</v>
      </c>
      <c r="G10" s="2">
        <v>-629.791919290127</v>
      </c>
      <c r="H10" s="1">
        <v>-629.79418992373598</v>
      </c>
      <c r="I10" s="2">
        <f t="shared" si="1"/>
        <v>2.2706336089868273</v>
      </c>
      <c r="K10" s="2">
        <v>4</v>
      </c>
      <c r="L10" s="2">
        <v>-629.86890490041503</v>
      </c>
      <c r="M10" s="1">
        <v>-629.87260388368099</v>
      </c>
      <c r="N10" s="2">
        <f t="shared" si="2"/>
        <v>3.6989832659628519</v>
      </c>
    </row>
    <row r="11" spans="1:14">
      <c r="A11" s="3">
        <v>5</v>
      </c>
      <c r="B11" s="3">
        <v>-629.80038177948495</v>
      </c>
      <c r="C11" s="4">
        <v>-629.80087268428997</v>
      </c>
      <c r="D11" s="3">
        <f t="shared" si="0"/>
        <v>0.49090480501945422</v>
      </c>
      <c r="F11" s="2">
        <v>5</v>
      </c>
      <c r="G11" s="2">
        <v>-629.79353441234798</v>
      </c>
      <c r="H11" s="1">
        <v>-629.79418992373598</v>
      </c>
      <c r="I11" s="2">
        <f t="shared" si="1"/>
        <v>0.65551138800401532</v>
      </c>
      <c r="K11" s="2">
        <v>5</v>
      </c>
      <c r="L11" s="2">
        <v>-629.87159597521895</v>
      </c>
      <c r="M11" s="1">
        <v>-629.87260388368099</v>
      </c>
      <c r="N11" s="2">
        <f t="shared" si="2"/>
        <v>1.0079084620429057</v>
      </c>
    </row>
    <row r="12" spans="1:14">
      <c r="A12" s="3">
        <v>6</v>
      </c>
      <c r="B12" s="3">
        <v>-629.80069750834502</v>
      </c>
      <c r="C12" s="4">
        <v>-629.80087268428997</v>
      </c>
      <c r="D12" s="3">
        <f t="shared" si="0"/>
        <v>0.17517594494620425</v>
      </c>
      <c r="F12" s="2">
        <v>6</v>
      </c>
      <c r="G12" s="2">
        <v>-629.79391517978695</v>
      </c>
      <c r="H12" s="1">
        <v>-629.79418992373598</v>
      </c>
      <c r="I12" s="2">
        <f t="shared" si="1"/>
        <v>0.27474394903492794</v>
      </c>
      <c r="K12" s="2">
        <v>6</v>
      </c>
      <c r="L12" s="2">
        <v>-629.87222812312496</v>
      </c>
      <c r="M12" s="1">
        <v>-629.87260388368099</v>
      </c>
      <c r="N12" s="2">
        <f t="shared" si="2"/>
        <v>0.37576055603949499</v>
      </c>
    </row>
    <row r="13" spans="1:14">
      <c r="A13" s="3">
        <v>7</v>
      </c>
      <c r="B13" s="3">
        <v>-629.80077964442</v>
      </c>
      <c r="C13" s="4">
        <v>-629.80087268428997</v>
      </c>
      <c r="D13" s="3">
        <f t="shared" si="0"/>
        <v>9.3039869966560218E-2</v>
      </c>
      <c r="F13" s="2">
        <v>7</v>
      </c>
      <c r="G13" s="2">
        <v>-629.79401399551102</v>
      </c>
      <c r="H13" s="1">
        <v>-629.79418992373598</v>
      </c>
      <c r="I13" s="2">
        <f t="shared" si="1"/>
        <v>0.1759282249622629</v>
      </c>
      <c r="K13" s="2">
        <v>7</v>
      </c>
      <c r="L13" s="2">
        <v>-629.87237743953403</v>
      </c>
      <c r="M13" s="1">
        <v>-629.87260388368099</v>
      </c>
      <c r="N13" s="2">
        <f t="shared" si="2"/>
        <v>0.22644414696060267</v>
      </c>
    </row>
    <row r="14" spans="1:14">
      <c r="A14" s="3">
        <v>8</v>
      </c>
      <c r="B14" s="3">
        <v>-629.80080233826595</v>
      </c>
      <c r="C14" s="4">
        <v>-629.80087268428997</v>
      </c>
      <c r="D14" s="3">
        <f t="shared" si="0"/>
        <v>7.0346024017453601E-2</v>
      </c>
      <c r="F14" s="2">
        <v>8</v>
      </c>
      <c r="G14" s="2">
        <v>-629.79404020838797</v>
      </c>
      <c r="H14" s="1">
        <v>-629.79418992373598</v>
      </c>
      <c r="I14" s="2">
        <f t="shared" si="1"/>
        <v>0.14971534801588859</v>
      </c>
      <c r="K14" s="2">
        <v>8</v>
      </c>
      <c r="L14" s="2">
        <v>-629.872414740826</v>
      </c>
      <c r="M14" s="1">
        <v>-629.87260388368099</v>
      </c>
      <c r="N14" s="2">
        <f t="shared" si="2"/>
        <v>0.18914285499249672</v>
      </c>
    </row>
    <row r="15" spans="1:14">
      <c r="A15" s="3">
        <v>9</v>
      </c>
      <c r="B15" s="3">
        <v>-629.80081192451598</v>
      </c>
      <c r="C15" s="4">
        <v>-629.80087268428997</v>
      </c>
      <c r="D15" s="3">
        <f t="shared" si="0"/>
        <v>6.0759773987228982E-2</v>
      </c>
      <c r="F15" s="2">
        <v>9</v>
      </c>
      <c r="G15" s="2">
        <v>-629.79404781505798</v>
      </c>
      <c r="H15" s="1">
        <v>-629.79418992373598</v>
      </c>
      <c r="I15" s="2">
        <f t="shared" si="1"/>
        <v>0.14210867800557025</v>
      </c>
      <c r="K15" s="2">
        <v>9</v>
      </c>
      <c r="L15" s="2">
        <v>-629.872424921841</v>
      </c>
      <c r="M15" s="1">
        <v>-629.87260388368099</v>
      </c>
      <c r="N15" s="2">
        <f t="shared" si="2"/>
        <v>0.178961839992553</v>
      </c>
    </row>
    <row r="16" spans="1:14">
      <c r="A16" s="3">
        <v>10</v>
      </c>
      <c r="B16" s="3">
        <v>-629.80081613048299</v>
      </c>
      <c r="C16" s="4">
        <v>-629.80087268428997</v>
      </c>
      <c r="D16" s="3">
        <f t="shared" si="0"/>
        <v>5.6553806984993571E-2</v>
      </c>
      <c r="F16" s="2">
        <v>10</v>
      </c>
      <c r="G16" s="2">
        <v>-629.7940503945</v>
      </c>
      <c r="H16" s="1">
        <v>-629.79418992373598</v>
      </c>
      <c r="I16" s="2">
        <f t="shared" si="1"/>
        <v>0.13952923598026246</v>
      </c>
      <c r="K16" s="2">
        <v>10</v>
      </c>
      <c r="L16" s="2">
        <v>-629.87242851497001</v>
      </c>
      <c r="M16" s="1">
        <v>-629.87260388368099</v>
      </c>
      <c r="N16" s="2">
        <f t="shared" si="2"/>
        <v>0.17536871098400297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79DB-08FE-4609-8405-48F800AF4A15}">
  <dimension ref="A6:N16"/>
  <sheetViews>
    <sheetView topLeftCell="C1" workbookViewId="0">
      <selection activeCell="M16" sqref="M16"/>
    </sheetView>
  </sheetViews>
  <sheetFormatPr defaultRowHeight="16.5"/>
  <cols>
    <col min="1" max="14" width="13.375" customWidth="1"/>
  </cols>
  <sheetData>
    <row r="6" spans="1:14">
      <c r="A6" t="s">
        <v>0</v>
      </c>
      <c r="B6" t="s">
        <v>1</v>
      </c>
      <c r="C6" t="s">
        <v>2</v>
      </c>
      <c r="D6" t="s">
        <v>3</v>
      </c>
      <c r="F6" t="s">
        <v>0</v>
      </c>
      <c r="G6" t="s">
        <v>4</v>
      </c>
      <c r="H6" t="s">
        <v>2</v>
      </c>
      <c r="I6" t="s">
        <v>3</v>
      </c>
      <c r="K6" t="s">
        <v>0</v>
      </c>
      <c r="L6" t="s">
        <v>5</v>
      </c>
      <c r="M6" t="s">
        <v>2</v>
      </c>
      <c r="N6" t="s">
        <v>3</v>
      </c>
    </row>
    <row r="7" spans="1:14">
      <c r="A7">
        <v>1</v>
      </c>
      <c r="B7">
        <v>-648.40222811191995</v>
      </c>
      <c r="C7" s="1">
        <v>-649.05038799110503</v>
      </c>
      <c r="D7">
        <f>ABS(C7-B7)*1000</f>
        <v>648.1598791850729</v>
      </c>
      <c r="F7">
        <v>1</v>
      </c>
      <c r="G7">
        <v>-648.35426448999999</v>
      </c>
      <c r="H7" s="1">
        <v>-649.04234523704099</v>
      </c>
      <c r="I7">
        <f>ABS(H7-G7)*1000</f>
        <v>688.08074704099909</v>
      </c>
      <c r="K7">
        <v>1</v>
      </c>
      <c r="L7">
        <v>-648.33457382422102</v>
      </c>
      <c r="M7" s="1">
        <v>-649.12321998115897</v>
      </c>
      <c r="N7">
        <f>ABS(M7-L7)*1000</f>
        <v>788.64615693794349</v>
      </c>
    </row>
    <row r="8" spans="1:14">
      <c r="A8">
        <v>2</v>
      </c>
      <c r="B8">
        <v>-649.02334301571102</v>
      </c>
      <c r="C8" s="1">
        <v>-649.05038799110503</v>
      </c>
      <c r="D8">
        <f t="shared" ref="D8:D16" si="0">ABS(C8-B8)*1000</f>
        <v>27.044975394005633</v>
      </c>
      <c r="F8">
        <v>2</v>
      </c>
      <c r="G8">
        <v>-648.99499156941704</v>
      </c>
      <c r="H8" s="1">
        <v>-649.04234523704099</v>
      </c>
      <c r="I8">
        <f t="shared" ref="I8:I16" si="1">ABS(H8-G8)*1000</f>
        <v>47.353667623951878</v>
      </c>
      <c r="K8">
        <v>2</v>
      </c>
      <c r="L8">
        <v>-649.05388904061795</v>
      </c>
      <c r="M8" s="1">
        <v>-649.12321998115897</v>
      </c>
      <c r="N8">
        <f t="shared" ref="N8:N16" si="2">ABS(M8-L8)*1000</f>
        <v>69.330940541021846</v>
      </c>
    </row>
    <row r="9" spans="1:14">
      <c r="A9">
        <v>3</v>
      </c>
      <c r="B9">
        <v>-649.04361854670799</v>
      </c>
      <c r="C9" s="1">
        <v>-649.05038799110503</v>
      </c>
      <c r="D9">
        <f t="shared" si="0"/>
        <v>6.7694443970367502</v>
      </c>
      <c r="F9">
        <v>3</v>
      </c>
      <c r="G9">
        <v>-649.031818485543</v>
      </c>
      <c r="H9" s="1">
        <v>-649.04234523704099</v>
      </c>
      <c r="I9">
        <f t="shared" si="1"/>
        <v>10.526751497991427</v>
      </c>
      <c r="K9">
        <v>3</v>
      </c>
      <c r="L9">
        <v>-649.10684723357997</v>
      </c>
      <c r="M9" s="1">
        <v>-649.12321998115897</v>
      </c>
      <c r="N9">
        <f t="shared" si="2"/>
        <v>16.372747578998315</v>
      </c>
    </row>
    <row r="10" spans="1:14">
      <c r="A10">
        <v>4</v>
      </c>
      <c r="B10">
        <v>-649.04860447303395</v>
      </c>
      <c r="C10" s="1">
        <v>-649.05038799110503</v>
      </c>
      <c r="D10">
        <f t="shared" si="0"/>
        <v>1.7835180710790155</v>
      </c>
      <c r="F10">
        <v>4</v>
      </c>
      <c r="G10">
        <v>-649.03985347448304</v>
      </c>
      <c r="H10" s="1">
        <v>-649.04234523704099</v>
      </c>
      <c r="I10">
        <f t="shared" si="1"/>
        <v>2.4917625579519154</v>
      </c>
      <c r="K10">
        <v>4</v>
      </c>
      <c r="L10">
        <v>-649.11928370123701</v>
      </c>
      <c r="M10" s="1">
        <v>-649.12321998115897</v>
      </c>
      <c r="N10">
        <f t="shared" si="2"/>
        <v>3.9362799219588851</v>
      </c>
    </row>
    <row r="11" spans="1:14">
      <c r="A11">
        <v>5</v>
      </c>
      <c r="B11">
        <v>-649.04988540668205</v>
      </c>
      <c r="C11" s="1">
        <v>-649.05038799110503</v>
      </c>
      <c r="D11">
        <f t="shared" si="0"/>
        <v>0.50258442297490546</v>
      </c>
      <c r="F11">
        <v>5</v>
      </c>
      <c r="G11">
        <v>-649.04166470507903</v>
      </c>
      <c r="H11" s="1">
        <v>-649.04234523704099</v>
      </c>
      <c r="I11">
        <f t="shared" si="1"/>
        <v>0.6805319619616057</v>
      </c>
      <c r="K11">
        <v>5</v>
      </c>
      <c r="L11">
        <v>-649.12216527841395</v>
      </c>
      <c r="M11" s="1">
        <v>-649.12321998115897</v>
      </c>
      <c r="N11">
        <f t="shared" si="2"/>
        <v>1.0547027450229507</v>
      </c>
    </row>
    <row r="12" spans="1:14">
      <c r="A12">
        <v>6</v>
      </c>
      <c r="B12">
        <v>-649.05021742083795</v>
      </c>
      <c r="C12" s="1">
        <v>-649.05038799110503</v>
      </c>
      <c r="D12">
        <f t="shared" si="0"/>
        <v>0.17057026707334444</v>
      </c>
      <c r="F12">
        <v>6</v>
      </c>
      <c r="G12">
        <v>-649.04209363938401</v>
      </c>
      <c r="H12" s="1">
        <v>-649.04234523704099</v>
      </c>
      <c r="I12">
        <f t="shared" si="1"/>
        <v>0.25159765698390402</v>
      </c>
      <c r="K12">
        <v>6</v>
      </c>
      <c r="L12">
        <v>-649.12283542141597</v>
      </c>
      <c r="M12" s="1">
        <v>-649.12321998115897</v>
      </c>
      <c r="N12">
        <f t="shared" si="2"/>
        <v>0.38455974299722584</v>
      </c>
    </row>
    <row r="13" spans="1:14">
      <c r="A13">
        <v>7</v>
      </c>
      <c r="B13">
        <v>-649.05030592342996</v>
      </c>
      <c r="C13" s="1">
        <v>-649.05038799110503</v>
      </c>
      <c r="D13">
        <f t="shared" si="0"/>
        <v>8.206767506635515E-2</v>
      </c>
      <c r="F13">
        <v>7</v>
      </c>
      <c r="G13">
        <v>-649.04219969133499</v>
      </c>
      <c r="H13" s="1">
        <v>-649.04234523704099</v>
      </c>
      <c r="I13">
        <f t="shared" si="1"/>
        <v>0.14554570600466832</v>
      </c>
      <c r="K13">
        <v>7</v>
      </c>
      <c r="L13">
        <v>-649.12299432197005</v>
      </c>
      <c r="M13" s="1">
        <v>-649.12321998115897</v>
      </c>
      <c r="N13">
        <f t="shared" si="2"/>
        <v>0.22565918891359615</v>
      </c>
    </row>
    <row r="14" spans="1:14">
      <c r="A14">
        <v>8</v>
      </c>
      <c r="B14">
        <v>-649.05033152194596</v>
      </c>
      <c r="C14" s="1">
        <v>-649.05038799110503</v>
      </c>
      <c r="D14">
        <f t="shared" si="0"/>
        <v>5.646915906254435E-2</v>
      </c>
      <c r="F14">
        <v>8</v>
      </c>
      <c r="G14">
        <v>-649.04222840138095</v>
      </c>
      <c r="H14" s="1">
        <v>-649.04234523704099</v>
      </c>
      <c r="I14">
        <f t="shared" si="1"/>
        <v>0.11683566003739543</v>
      </c>
      <c r="K14">
        <v>8</v>
      </c>
      <c r="L14">
        <v>-649.12303338212701</v>
      </c>
      <c r="M14" s="1">
        <v>-649.12321998115897</v>
      </c>
      <c r="N14">
        <f t="shared" si="2"/>
        <v>0.18659903196294181</v>
      </c>
    </row>
    <row r="15" spans="1:14">
      <c r="A15">
        <v>9</v>
      </c>
      <c r="B15">
        <v>-649.05033950946802</v>
      </c>
      <c r="C15" s="1">
        <v>-649.05038799110503</v>
      </c>
      <c r="D15">
        <f t="shared" si="0"/>
        <v>4.8481637008990219E-2</v>
      </c>
      <c r="F15">
        <v>9</v>
      </c>
      <c r="G15">
        <v>-649.04223677702305</v>
      </c>
      <c r="H15" s="1">
        <v>-649.04234523704099</v>
      </c>
      <c r="I15">
        <f t="shared" si="1"/>
        <v>0.10846001794106996</v>
      </c>
      <c r="K15">
        <v>9</v>
      </c>
      <c r="L15">
        <v>-649.12304384117795</v>
      </c>
      <c r="M15" s="1">
        <v>-649.12321998115897</v>
      </c>
      <c r="N15">
        <f t="shared" si="2"/>
        <v>0.17613998102206097</v>
      </c>
    </row>
    <row r="16" spans="1:14">
      <c r="A16">
        <v>10</v>
      </c>
      <c r="B16">
        <v>-649.05034235467303</v>
      </c>
      <c r="C16" s="1">
        <v>-649.05038799110503</v>
      </c>
      <c r="D16">
        <f t="shared" si="0"/>
        <v>4.5636431991624704E-2</v>
      </c>
      <c r="F16">
        <v>10</v>
      </c>
      <c r="G16">
        <v>-649.04224012515601</v>
      </c>
      <c r="H16" s="1">
        <v>-649.04234523704099</v>
      </c>
      <c r="I16">
        <f t="shared" si="1"/>
        <v>0.10511188497730473</v>
      </c>
      <c r="K16">
        <v>10</v>
      </c>
      <c r="L16">
        <v>-649.12304719383997</v>
      </c>
      <c r="M16" s="1">
        <v>-649.12321998115897</v>
      </c>
      <c r="N16">
        <f t="shared" si="2"/>
        <v>0.17278731900205457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4022-7D73-4D53-A91C-99553B005EA5}">
  <dimension ref="A6:N16"/>
  <sheetViews>
    <sheetView topLeftCell="C1" workbookViewId="0">
      <selection activeCell="M16" sqref="M16"/>
    </sheetView>
  </sheetViews>
  <sheetFormatPr defaultRowHeight="16.5"/>
  <cols>
    <col min="1" max="14" width="13.375" customWidth="1"/>
  </cols>
  <sheetData>
    <row r="6" spans="1:14">
      <c r="A6" t="s">
        <v>0</v>
      </c>
      <c r="B6" t="s">
        <v>1</v>
      </c>
      <c r="C6" t="s">
        <v>2</v>
      </c>
      <c r="D6" t="s">
        <v>3</v>
      </c>
      <c r="F6" t="s">
        <v>0</v>
      </c>
      <c r="G6" t="s">
        <v>4</v>
      </c>
      <c r="H6" t="s">
        <v>2</v>
      </c>
      <c r="I6" t="s">
        <v>3</v>
      </c>
      <c r="K6" t="s">
        <v>0</v>
      </c>
      <c r="L6" t="s">
        <v>5</v>
      </c>
      <c r="M6" t="s">
        <v>2</v>
      </c>
      <c r="N6" t="s">
        <v>3</v>
      </c>
    </row>
    <row r="7" spans="1:14">
      <c r="A7">
        <v>1</v>
      </c>
      <c r="B7">
        <v>-590.17032857488402</v>
      </c>
      <c r="C7" s="1">
        <v>-590.72685338739495</v>
      </c>
      <c r="D7">
        <f>ABS(C7-B7)*1000</f>
        <v>556.52481251092922</v>
      </c>
      <c r="F7">
        <v>1</v>
      </c>
      <c r="G7">
        <v>-590.12182108632396</v>
      </c>
      <c r="H7" s="1">
        <v>-590.71530565406294</v>
      </c>
      <c r="I7">
        <f>ABS(H7-G7)*1000</f>
        <v>593.48456773898306</v>
      </c>
      <c r="K7">
        <v>1</v>
      </c>
      <c r="L7">
        <v>-590.10556912590903</v>
      </c>
      <c r="M7" s="1">
        <v>-590.79461611806198</v>
      </c>
      <c r="N7">
        <f>ABS(M7-L7)*1000</f>
        <v>689.04699215295295</v>
      </c>
    </row>
    <row r="8" spans="1:14">
      <c r="A8">
        <v>2</v>
      </c>
      <c r="B8">
        <v>-590.70080917827602</v>
      </c>
      <c r="C8" s="1">
        <v>-590.72685338739495</v>
      </c>
      <c r="D8">
        <f t="shared" ref="D8:D16" si="0">ABS(C8-B8)*1000</f>
        <v>26.044209118936124</v>
      </c>
      <c r="F8">
        <v>2</v>
      </c>
      <c r="G8">
        <v>-590.66955439644596</v>
      </c>
      <c r="H8" s="1">
        <v>-590.71530565406294</v>
      </c>
      <c r="I8">
        <f t="shared" ref="I8:I16" si="1">ABS(H8-G8)*1000</f>
        <v>45.751257616984731</v>
      </c>
      <c r="K8">
        <v>2</v>
      </c>
      <c r="L8">
        <v>-590.72702298560898</v>
      </c>
      <c r="M8" s="1">
        <v>-590.79461611806198</v>
      </c>
      <c r="N8">
        <f t="shared" ref="N8:N16" si="2">ABS(M8-L8)*1000</f>
        <v>67.593132452998361</v>
      </c>
    </row>
    <row r="9" spans="1:14">
      <c r="A9">
        <v>3</v>
      </c>
      <c r="B9">
        <v>-590.72031725551301</v>
      </c>
      <c r="C9" s="1">
        <v>-590.72685338739495</v>
      </c>
      <c r="D9">
        <f t="shared" si="0"/>
        <v>6.5361318819441294</v>
      </c>
      <c r="F9">
        <v>3</v>
      </c>
      <c r="G9">
        <v>-590.705161993204</v>
      </c>
      <c r="H9" s="1">
        <v>-590.71530565406294</v>
      </c>
      <c r="I9">
        <f t="shared" si="1"/>
        <v>10.143660858943804</v>
      </c>
      <c r="K9">
        <v>3</v>
      </c>
      <c r="L9">
        <v>-590.77848600122002</v>
      </c>
      <c r="M9" s="1">
        <v>-590.79461611806198</v>
      </c>
      <c r="N9">
        <f t="shared" si="2"/>
        <v>16.130116841964082</v>
      </c>
    </row>
    <row r="10" spans="1:14">
      <c r="A10">
        <v>4</v>
      </c>
      <c r="B10">
        <v>-590.72513717383094</v>
      </c>
      <c r="C10" s="1">
        <v>-590.72685338739495</v>
      </c>
      <c r="D10">
        <f t="shared" si="0"/>
        <v>1.7162135640091947</v>
      </c>
      <c r="F10">
        <v>4</v>
      </c>
      <c r="G10">
        <v>-590.71290145107901</v>
      </c>
      <c r="H10" s="1">
        <v>-590.71530565406294</v>
      </c>
      <c r="I10">
        <f t="shared" si="1"/>
        <v>2.4042029839392853</v>
      </c>
      <c r="K10">
        <v>4</v>
      </c>
      <c r="L10">
        <v>-590.79072205922796</v>
      </c>
      <c r="M10" s="1">
        <v>-590.79461611806198</v>
      </c>
      <c r="N10">
        <f t="shared" si="2"/>
        <v>3.8940588340210525</v>
      </c>
    </row>
    <row r="11" spans="1:14">
      <c r="A11">
        <v>5</v>
      </c>
      <c r="B11">
        <v>-590.72637401434099</v>
      </c>
      <c r="C11" s="1">
        <v>-590.72685338739495</v>
      </c>
      <c r="D11">
        <f t="shared" si="0"/>
        <v>0.47937305396317242</v>
      </c>
      <c r="F11">
        <v>5</v>
      </c>
      <c r="G11">
        <v>-590.71464898590705</v>
      </c>
      <c r="H11" s="1">
        <v>-590.71530565406294</v>
      </c>
      <c r="I11">
        <f t="shared" si="1"/>
        <v>0.65666815589793259</v>
      </c>
      <c r="K11">
        <v>5</v>
      </c>
      <c r="L11">
        <v>-590.79357923710597</v>
      </c>
      <c r="M11" s="1">
        <v>-590.79461611806198</v>
      </c>
      <c r="N11">
        <f t="shared" si="2"/>
        <v>1.0368809560077352</v>
      </c>
    </row>
    <row r="12" spans="1:14">
      <c r="A12">
        <v>6</v>
      </c>
      <c r="B12">
        <v>-590.72669323262096</v>
      </c>
      <c r="C12" s="1">
        <v>-590.72685338739495</v>
      </c>
      <c r="D12">
        <f t="shared" si="0"/>
        <v>0.16015477399378142</v>
      </c>
      <c r="F12">
        <v>6</v>
      </c>
      <c r="G12">
        <v>-590.71506048336903</v>
      </c>
      <c r="H12" s="1">
        <v>-590.71530565406294</v>
      </c>
      <c r="I12">
        <f t="shared" si="1"/>
        <v>0.2451706939154974</v>
      </c>
      <c r="K12">
        <v>6</v>
      </c>
      <c r="L12">
        <v>-590.79424581354795</v>
      </c>
      <c r="M12" s="1">
        <v>-590.79461611806198</v>
      </c>
      <c r="N12">
        <f t="shared" si="2"/>
        <v>0.37030451403552433</v>
      </c>
    </row>
    <row r="13" spans="1:14">
      <c r="A13">
        <v>7</v>
      </c>
      <c r="B13">
        <v>-590.72677659831197</v>
      </c>
      <c r="C13" s="1">
        <v>-590.72685338739495</v>
      </c>
      <c r="D13">
        <f t="shared" si="0"/>
        <v>7.6789082982031687E-2</v>
      </c>
      <c r="F13">
        <v>7</v>
      </c>
      <c r="G13">
        <v>-590.71516494860396</v>
      </c>
      <c r="H13" s="1">
        <v>-590.71530565406294</v>
      </c>
      <c r="I13">
        <f t="shared" si="1"/>
        <v>0.14070545898903219</v>
      </c>
      <c r="K13">
        <v>7</v>
      </c>
      <c r="L13">
        <v>-590.79440929826706</v>
      </c>
      <c r="M13" s="1">
        <v>-590.79461611806198</v>
      </c>
      <c r="N13">
        <f t="shared" si="2"/>
        <v>0.20681979492565006</v>
      </c>
    </row>
    <row r="14" spans="1:14">
      <c r="A14">
        <v>8</v>
      </c>
      <c r="B14">
        <v>-590.72679939235502</v>
      </c>
      <c r="C14" s="1">
        <v>-590.72685338739495</v>
      </c>
      <c r="D14">
        <f t="shared" si="0"/>
        <v>5.3995039934306988E-2</v>
      </c>
      <c r="F14">
        <v>8</v>
      </c>
      <c r="G14">
        <v>-590.71519306870402</v>
      </c>
      <c r="H14" s="1">
        <v>-590.71530565406294</v>
      </c>
      <c r="I14">
        <f t="shared" si="1"/>
        <v>0.11258535892011423</v>
      </c>
      <c r="K14">
        <v>8</v>
      </c>
      <c r="L14">
        <v>-590.79444800488</v>
      </c>
      <c r="M14" s="1">
        <v>-590.79461611806198</v>
      </c>
      <c r="N14">
        <f t="shared" si="2"/>
        <v>0.16811318198506342</v>
      </c>
    </row>
    <row r="15" spans="1:14">
      <c r="A15">
        <v>9</v>
      </c>
      <c r="B15">
        <v>-590.72680694985104</v>
      </c>
      <c r="C15" s="1">
        <v>-590.72685338739495</v>
      </c>
      <c r="D15">
        <f t="shared" si="0"/>
        <v>4.6437543915089918E-2</v>
      </c>
      <c r="F15">
        <v>9</v>
      </c>
      <c r="G15">
        <v>-590.71520160362297</v>
      </c>
      <c r="H15" s="1">
        <v>-590.71530565406294</v>
      </c>
      <c r="I15">
        <f t="shared" si="1"/>
        <v>0.10405043997252506</v>
      </c>
      <c r="K15">
        <v>9</v>
      </c>
      <c r="L15">
        <v>-590.794458397732</v>
      </c>
      <c r="M15" s="1">
        <v>-590.79461611806198</v>
      </c>
      <c r="N15">
        <f t="shared" si="2"/>
        <v>0.15772032998029317</v>
      </c>
    </row>
    <row r="16" spans="1:14">
      <c r="A16">
        <v>10</v>
      </c>
      <c r="B16">
        <v>-590.72680944493698</v>
      </c>
      <c r="C16" s="1">
        <v>-590.72685338739495</v>
      </c>
      <c r="D16">
        <f t="shared" si="0"/>
        <v>4.394245797811891E-2</v>
      </c>
      <c r="F16">
        <v>10</v>
      </c>
      <c r="G16">
        <v>-590.71520487296596</v>
      </c>
      <c r="H16" s="1">
        <v>-590.71530565406294</v>
      </c>
      <c r="I16">
        <f t="shared" si="1"/>
        <v>0.10078109698952176</v>
      </c>
      <c r="K16">
        <v>10</v>
      </c>
      <c r="L16">
        <v>-590.79446197695404</v>
      </c>
      <c r="M16" s="1">
        <v>-590.79461611806198</v>
      </c>
      <c r="N16">
        <f t="shared" si="2"/>
        <v>0.15414110794154112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0269-F8AF-421C-8B3B-1E81E2261810}">
  <dimension ref="A6:N16"/>
  <sheetViews>
    <sheetView topLeftCell="C1" workbookViewId="0">
      <selection activeCell="N16" sqref="N16"/>
    </sheetView>
  </sheetViews>
  <sheetFormatPr defaultRowHeight="16.5"/>
  <cols>
    <col min="1" max="14" width="13.375" customWidth="1"/>
  </cols>
  <sheetData>
    <row r="6" spans="1:14">
      <c r="A6" t="s">
        <v>0</v>
      </c>
      <c r="B6" t="s">
        <v>1</v>
      </c>
      <c r="C6" t="s">
        <v>2</v>
      </c>
      <c r="D6" t="s">
        <v>3</v>
      </c>
      <c r="F6" t="s">
        <v>0</v>
      </c>
      <c r="G6" t="s">
        <v>4</v>
      </c>
      <c r="H6" t="s">
        <v>2</v>
      </c>
      <c r="I6" t="s">
        <v>3</v>
      </c>
      <c r="K6" t="s">
        <v>0</v>
      </c>
      <c r="L6" t="s">
        <v>5</v>
      </c>
      <c r="M6" t="s">
        <v>2</v>
      </c>
      <c r="N6" t="s">
        <v>3</v>
      </c>
    </row>
    <row r="7" spans="1:14">
      <c r="A7">
        <v>1</v>
      </c>
      <c r="B7">
        <v>-707.30029641193698</v>
      </c>
      <c r="C7" s="1">
        <v>-707.97487384674196</v>
      </c>
      <c r="D7">
        <f>ABS(C7-B7)*1000</f>
        <v>674.57743480497356</v>
      </c>
      <c r="F7">
        <v>1</v>
      </c>
      <c r="G7">
        <v>-707.25224975990204</v>
      </c>
      <c r="H7" s="1">
        <v>-707.97248573823504</v>
      </c>
      <c r="I7">
        <f>ABS(H7-G7)*1000</f>
        <v>720.23597833299391</v>
      </c>
      <c r="K7">
        <v>1</v>
      </c>
      <c r="L7">
        <v>-707.23747785169599</v>
      </c>
      <c r="M7" s="1">
        <v>-708.05265894470097</v>
      </c>
      <c r="N7">
        <f>ABS(M7-L7)*1000</f>
        <v>815.18109300498054</v>
      </c>
    </row>
    <row r="8" spans="1:14">
      <c r="A8">
        <v>2</v>
      </c>
      <c r="B8">
        <v>-707.949774029065</v>
      </c>
      <c r="C8" s="1">
        <v>-707.97487384674196</v>
      </c>
      <c r="D8">
        <f t="shared" ref="D8:D16" si="0">ABS(C8-B8)*1000</f>
        <v>25.099817676959901</v>
      </c>
      <c r="F8">
        <v>2</v>
      </c>
      <c r="G8">
        <v>-707.92911577684595</v>
      </c>
      <c r="H8" s="1">
        <v>-707.97248573823504</v>
      </c>
      <c r="I8">
        <f t="shared" ref="I8:I16" si="1">ABS(H8-G8)*1000</f>
        <v>43.36996138908944</v>
      </c>
      <c r="K8">
        <v>2</v>
      </c>
      <c r="L8">
        <v>-707.98791220002795</v>
      </c>
      <c r="M8" s="1">
        <v>-708.05265894470097</v>
      </c>
      <c r="N8">
        <f t="shared" ref="N8:N16" si="2">ABS(M8-L8)*1000</f>
        <v>64.74674467301611</v>
      </c>
    </row>
    <row r="9" spans="1:14">
      <c r="A9">
        <v>3</v>
      </c>
      <c r="B9">
        <v>-707.96853359038198</v>
      </c>
      <c r="C9" s="1">
        <v>-707.97487384674196</v>
      </c>
      <c r="D9">
        <f t="shared" si="0"/>
        <v>6.3402563599765926</v>
      </c>
      <c r="F9">
        <v>3</v>
      </c>
      <c r="G9">
        <v>-707.96333237070996</v>
      </c>
      <c r="H9" s="1">
        <v>-707.97248573823504</v>
      </c>
      <c r="I9">
        <f t="shared" si="1"/>
        <v>9.1533675250730084</v>
      </c>
      <c r="K9">
        <v>3</v>
      </c>
      <c r="L9">
        <v>-708.03728615913303</v>
      </c>
      <c r="M9" s="1">
        <v>-708.05265894470097</v>
      </c>
      <c r="N9">
        <f t="shared" si="2"/>
        <v>15.372785567933533</v>
      </c>
    </row>
    <row r="10" spans="1:14">
      <c r="A10">
        <v>4</v>
      </c>
      <c r="B10">
        <v>-707.97317211914196</v>
      </c>
      <c r="C10" s="1">
        <v>-707.97487384674196</v>
      </c>
      <c r="D10">
        <f t="shared" si="0"/>
        <v>1.701727599993319</v>
      </c>
      <c r="F10">
        <v>4</v>
      </c>
      <c r="G10">
        <v>-707.97026853025397</v>
      </c>
      <c r="H10" s="1">
        <v>-707.97248573823504</v>
      </c>
      <c r="I10">
        <f t="shared" si="1"/>
        <v>2.2172079810616196</v>
      </c>
      <c r="K10">
        <v>4</v>
      </c>
      <c r="L10">
        <v>-708.04893532051096</v>
      </c>
      <c r="M10" s="1">
        <v>-708.05265894470097</v>
      </c>
      <c r="N10">
        <f t="shared" si="2"/>
        <v>3.7236241900018285</v>
      </c>
    </row>
    <row r="11" spans="1:14">
      <c r="A11">
        <v>5</v>
      </c>
      <c r="B11">
        <v>-707.97437660136904</v>
      </c>
      <c r="C11" s="1">
        <v>-707.97487384674196</v>
      </c>
      <c r="D11">
        <f t="shared" si="0"/>
        <v>0.49724537291240267</v>
      </c>
      <c r="F11">
        <v>5</v>
      </c>
      <c r="G11">
        <v>-707.97183274958104</v>
      </c>
      <c r="H11" s="1">
        <v>-707.97248573823504</v>
      </c>
      <c r="I11">
        <f t="shared" si="1"/>
        <v>0.6529886539965446</v>
      </c>
      <c r="K11">
        <v>5</v>
      </c>
      <c r="L11">
        <v>-708.05165603637897</v>
      </c>
      <c r="M11" s="1">
        <v>-708.05265894470097</v>
      </c>
      <c r="N11">
        <f t="shared" si="2"/>
        <v>1.0029083219933455</v>
      </c>
    </row>
    <row r="12" spans="1:14">
      <c r="A12">
        <v>6</v>
      </c>
      <c r="B12">
        <v>-707.97469446178695</v>
      </c>
      <c r="C12" s="1">
        <v>-707.97487384674196</v>
      </c>
      <c r="D12">
        <f t="shared" si="0"/>
        <v>0.17938495500402496</v>
      </c>
      <c r="F12">
        <v>6</v>
      </c>
      <c r="G12">
        <v>-707.97221621751805</v>
      </c>
      <c r="H12" s="1">
        <v>-707.97248573823504</v>
      </c>
      <c r="I12">
        <f t="shared" si="1"/>
        <v>0.26952071698360669</v>
      </c>
      <c r="K12">
        <v>6</v>
      </c>
      <c r="L12">
        <v>-708.05229553285005</v>
      </c>
      <c r="M12" s="1">
        <v>-708.05265894470097</v>
      </c>
      <c r="N12">
        <f t="shared" si="2"/>
        <v>0.36341185091259831</v>
      </c>
    </row>
    <row r="13" spans="1:14">
      <c r="A13">
        <v>7</v>
      </c>
      <c r="B13">
        <v>-707.97478176641903</v>
      </c>
      <c r="C13" s="1">
        <v>-707.97487384674196</v>
      </c>
      <c r="D13">
        <f t="shared" si="0"/>
        <v>9.2080322929177782E-2</v>
      </c>
      <c r="F13">
        <v>7</v>
      </c>
      <c r="G13">
        <v>-707.97231283323595</v>
      </c>
      <c r="H13" s="1">
        <v>-707.97248573823504</v>
      </c>
      <c r="I13">
        <f t="shared" si="1"/>
        <v>0.17290499908995116</v>
      </c>
      <c r="K13">
        <v>7</v>
      </c>
      <c r="L13">
        <v>-708.05244601099298</v>
      </c>
      <c r="M13" s="1">
        <v>-708.05265894470097</v>
      </c>
      <c r="N13">
        <f t="shared" si="2"/>
        <v>0.2129337079850302</v>
      </c>
    </row>
    <row r="14" spans="1:14">
      <c r="A14">
        <v>8</v>
      </c>
      <c r="B14">
        <v>-707.974806315563</v>
      </c>
      <c r="C14" s="1">
        <v>-707.97487384674196</v>
      </c>
      <c r="D14">
        <f t="shared" si="0"/>
        <v>6.7531178956414806E-2</v>
      </c>
      <c r="F14">
        <v>8</v>
      </c>
      <c r="G14">
        <v>-707.97233899384003</v>
      </c>
      <c r="H14" s="1">
        <v>-707.97248573823504</v>
      </c>
      <c r="I14">
        <f t="shared" si="1"/>
        <v>0.14674439501050074</v>
      </c>
      <c r="K14">
        <v>8</v>
      </c>
      <c r="L14">
        <v>-708.05248268925595</v>
      </c>
      <c r="M14" s="1">
        <v>-708.05265894470097</v>
      </c>
      <c r="N14">
        <f t="shared" si="2"/>
        <v>0.17625544501242985</v>
      </c>
    </row>
    <row r="15" spans="1:14">
      <c r="A15">
        <v>9</v>
      </c>
      <c r="B15">
        <v>-707.974814448605</v>
      </c>
      <c r="C15" s="1">
        <v>-707.97487384674196</v>
      </c>
      <c r="D15">
        <f t="shared" si="0"/>
        <v>5.9398136954769143E-2</v>
      </c>
      <c r="F15">
        <v>9</v>
      </c>
      <c r="G15">
        <v>-707.97235129366697</v>
      </c>
      <c r="H15" s="1">
        <v>-707.97248573823504</v>
      </c>
      <c r="I15">
        <f t="shared" si="1"/>
        <v>0.13444456806155358</v>
      </c>
      <c r="K15">
        <v>9</v>
      </c>
      <c r="L15">
        <v>-708.05249354418197</v>
      </c>
      <c r="M15" s="1">
        <v>-708.05265894470097</v>
      </c>
      <c r="N15">
        <f t="shared" si="2"/>
        <v>0.16540051899482933</v>
      </c>
    </row>
    <row r="16" spans="1:14">
      <c r="A16">
        <v>10</v>
      </c>
      <c r="B16">
        <v>-707.97481710429599</v>
      </c>
      <c r="C16" s="1">
        <v>-707.97487384674196</v>
      </c>
      <c r="D16">
        <f t="shared" si="0"/>
        <v>5.674244596320932E-2</v>
      </c>
      <c r="F16">
        <v>10</v>
      </c>
      <c r="G16">
        <v>-707.97235595332302</v>
      </c>
      <c r="H16" s="1">
        <v>-707.97248573823504</v>
      </c>
      <c r="I16">
        <f t="shared" si="1"/>
        <v>0.12978491201920406</v>
      </c>
      <c r="K16">
        <v>10</v>
      </c>
      <c r="L16">
        <v>-708.05249699278897</v>
      </c>
      <c r="M16" s="1">
        <v>-708.05265894470097</v>
      </c>
      <c r="N16">
        <f t="shared" si="2"/>
        <v>0.16195191199130932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DMAB</vt:lpstr>
      <vt:lpstr>DEAE</vt:lpstr>
      <vt:lpstr>TMPAD</vt:lpstr>
      <vt:lpstr>3DMA1P</vt:lpstr>
      <vt:lpstr>DEAB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강두형/Doohyung Kang/qunova</dc:creator>
  <cp:lastModifiedBy>강두형/Doohyung Kang/qunova</cp:lastModifiedBy>
  <dcterms:created xsi:type="dcterms:W3CDTF">2026-06-19T01:42:51Z</dcterms:created>
  <dcterms:modified xsi:type="dcterms:W3CDTF">2026-09-10T06:31:32Z</dcterms:modified>
</cp:coreProperties>
</file>