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\Qunova\포스코\양자이득 정부과제\2단계\2차년도\cabon capture_story1\논문 작성\Data\Calculation data\"/>
    </mc:Choice>
  </mc:AlternateContent>
  <xr:revisionPtr revIDLastSave="0" documentId="13_ncr:1_{688FD998-0486-4638-A369-C1B541AFB277}" xr6:coauthVersionLast="47" xr6:coauthVersionMax="47" xr10:uidLastSave="{00000000-0000-0000-0000-000000000000}"/>
  <bookViews>
    <workbookView xWindow="-120" yWindow="-120" windowWidth="29040" windowHeight="15720" activeTab="4" xr2:uid="{26301100-B368-4C4A-8E44-F201200FA402}"/>
  </bookViews>
  <sheets>
    <sheet name="DMAB" sheetId="1" r:id="rId1"/>
    <sheet name="DEAE" sheetId="2" r:id="rId2"/>
    <sheet name="TMPAD" sheetId="3" r:id="rId3"/>
    <sheet name="3DMA1P" sheetId="4" r:id="rId4"/>
    <sheet name="DEA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5" l="1"/>
  <c r="G9" i="5"/>
  <c r="H8" i="5"/>
  <c r="G8" i="5"/>
  <c r="H7" i="5"/>
  <c r="J9" i="5" s="1"/>
  <c r="G7" i="5"/>
  <c r="H9" i="4"/>
  <c r="G9" i="4"/>
  <c r="H8" i="4"/>
  <c r="G8" i="4"/>
  <c r="I8" i="4" s="1"/>
  <c r="H7" i="4"/>
  <c r="J9" i="4" s="1"/>
  <c r="G7" i="4"/>
  <c r="H9" i="3"/>
  <c r="G9" i="3"/>
  <c r="H8" i="3"/>
  <c r="G8" i="3"/>
  <c r="H7" i="3"/>
  <c r="J9" i="3" s="1"/>
  <c r="G7" i="3"/>
  <c r="H9" i="2"/>
  <c r="G9" i="2"/>
  <c r="H8" i="2"/>
  <c r="G8" i="2"/>
  <c r="H7" i="2"/>
  <c r="J9" i="2" s="1"/>
  <c r="G7" i="2"/>
  <c r="H9" i="1"/>
  <c r="G9" i="1"/>
  <c r="H8" i="1"/>
  <c r="G8" i="1"/>
  <c r="H7" i="1"/>
  <c r="J9" i="1" s="1"/>
  <c r="G7" i="1"/>
  <c r="I8" i="5" l="1"/>
  <c r="I8" i="3"/>
  <c r="I8" i="1"/>
  <c r="I8" i="2"/>
</calcChain>
</file>

<file path=xl/sharedStrings.xml><?xml version="1.0" encoding="utf-8"?>
<sst xmlns="http://schemas.openxmlformats.org/spreadsheetml/2006/main" count="60" uniqueCount="12">
  <si>
    <t>DMRG_CASCI</t>
    <phoneticPr fontId="1" type="noConversion"/>
  </si>
  <si>
    <t>HI-VQE</t>
    <phoneticPr fontId="1" type="noConversion"/>
  </si>
  <si>
    <t>G_correction</t>
    <phoneticPr fontId="1" type="noConversion"/>
  </si>
  <si>
    <t>H_correction</t>
    <phoneticPr fontId="1" type="noConversion"/>
  </si>
  <si>
    <t>Gibbs_free</t>
    <phoneticPr fontId="1" type="noConversion"/>
  </si>
  <si>
    <t>Enthalpy</t>
    <phoneticPr fontId="1" type="noConversion"/>
  </si>
  <si>
    <t>activation</t>
    <phoneticPr fontId="1" type="noConversion"/>
  </si>
  <si>
    <t>reaction</t>
    <phoneticPr fontId="1" type="noConversion"/>
  </si>
  <si>
    <t>reactant</t>
    <phoneticPr fontId="1" type="noConversion"/>
  </si>
  <si>
    <t>Transition</t>
    <phoneticPr fontId="1" type="noConversion"/>
  </si>
  <si>
    <t>product</t>
    <phoneticPr fontId="1" type="noConversion"/>
  </si>
  <si>
    <t>HF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</si>
</sst>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name val="Consolas"/>
      <family val="3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/>
    <xf numFmtId="0" fontId="6" fillId="0" borderId="1" xfId="0" applyFont="1" applyBorder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/>
    <xf numFmtId="0" fontId="8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9FBE-5511-44FB-B539-13C6EFE1096D}">
  <dimension ref="A2:J9"/>
  <sheetViews>
    <sheetView workbookViewId="0">
      <selection activeCell="H7" sqref="H7"/>
    </sheetView>
  </sheetViews>
  <sheetFormatPr defaultRowHeight="16.5"/>
  <cols>
    <col min="1" max="12" width="13.375" customWidth="1"/>
  </cols>
  <sheetData>
    <row r="2" spans="1:10">
      <c r="A2" s="7"/>
      <c r="B2" s="7"/>
      <c r="C2" s="7"/>
      <c r="D2" s="7"/>
      <c r="E2" s="8"/>
      <c r="F2" s="8"/>
      <c r="G2" s="8"/>
    </row>
    <row r="3" spans="1:10">
      <c r="A3" s="7"/>
      <c r="B3" s="7"/>
      <c r="C3" s="7"/>
      <c r="D3" s="7"/>
      <c r="E3" s="8"/>
      <c r="F3" s="8"/>
      <c r="G3" s="8"/>
    </row>
    <row r="4" spans="1:10">
      <c r="A4" s="7"/>
      <c r="B4" s="7"/>
      <c r="C4" s="7"/>
      <c r="D4" s="7"/>
      <c r="E4" s="8"/>
      <c r="F4" s="8"/>
      <c r="G4" s="8"/>
    </row>
    <row r="6" spans="1:10">
      <c r="A6" s="1"/>
      <c r="B6" s="1" t="s">
        <v>11</v>
      </c>
      <c r="C6" s="1" t="s">
        <v>0</v>
      </c>
      <c r="D6" s="1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</row>
    <row r="7" spans="1:10">
      <c r="A7" s="1" t="s">
        <v>8</v>
      </c>
      <c r="B7" s="3">
        <v>-629.07202880367504</v>
      </c>
      <c r="C7" s="3">
        <v>-629.81850126243705</v>
      </c>
      <c r="D7" s="4">
        <v>-629.81846274662098</v>
      </c>
      <c r="E7" s="5">
        <v>0.19110199999999999</v>
      </c>
      <c r="F7" s="5">
        <v>0.26423000000000002</v>
      </c>
      <c r="G7" s="6">
        <f>D7+E7</f>
        <v>-629.62736074662098</v>
      </c>
      <c r="H7" s="6">
        <f>D7+F7</f>
        <v>-629.55423274662098</v>
      </c>
      <c r="I7" s="6"/>
      <c r="J7" s="6"/>
    </row>
    <row r="8" spans="1:10">
      <c r="A8" s="1" t="s">
        <v>9</v>
      </c>
      <c r="B8" s="3">
        <v>-629.02820906415002</v>
      </c>
      <c r="C8" s="3">
        <v>-629.80697121949504</v>
      </c>
      <c r="D8" s="4">
        <v>-629.80687541655698</v>
      </c>
      <c r="E8" s="5">
        <v>0.199768</v>
      </c>
      <c r="F8" s="5">
        <v>0.26363900000000001</v>
      </c>
      <c r="G8" s="6">
        <f>D8+E8</f>
        <v>-629.60710741655703</v>
      </c>
      <c r="H8" s="6">
        <f>D8+F8</f>
        <v>-629.54323641655697</v>
      </c>
      <c r="I8" s="6">
        <f>(G8-G7)*627.5095</f>
        <v>12.709157021765224</v>
      </c>
      <c r="J8" s="6"/>
    </row>
    <row r="9" spans="1:10">
      <c r="A9" s="1" t="s">
        <v>10</v>
      </c>
      <c r="B9" s="3">
        <v>-629.02772978181497</v>
      </c>
      <c r="C9" s="3">
        <v>-629.88795963948905</v>
      </c>
      <c r="D9" s="4">
        <v>-629.88780488526902</v>
      </c>
      <c r="E9" s="5">
        <v>0.20617199999999999</v>
      </c>
      <c r="F9" s="5">
        <v>0.26939400000000002</v>
      </c>
      <c r="G9" s="6">
        <f>D9+E9</f>
        <v>-629.68163288526898</v>
      </c>
      <c r="H9" s="6">
        <f>D9+F9</f>
        <v>-629.61841088526899</v>
      </c>
      <c r="I9" s="6"/>
      <c r="J9" s="6">
        <f>(H7-H9)*627.5095</f>
        <v>40.272391693939269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EE16-1146-441A-914A-E98CFB18B80A}">
  <dimension ref="A6:J9"/>
  <sheetViews>
    <sheetView workbookViewId="0">
      <selection activeCell="I18" sqref="I18"/>
    </sheetView>
  </sheetViews>
  <sheetFormatPr defaultRowHeight="16.5"/>
  <cols>
    <col min="1" max="12" width="13.375" customWidth="1"/>
  </cols>
  <sheetData>
    <row r="6" spans="1:10">
      <c r="A6" s="9"/>
      <c r="B6" s="9" t="s">
        <v>11</v>
      </c>
      <c r="C6" s="9" t="s">
        <v>0</v>
      </c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7</v>
      </c>
    </row>
    <row r="7" spans="1:10">
      <c r="A7" s="9" t="s">
        <v>8</v>
      </c>
      <c r="B7" s="11">
        <v>-629.06680566061095</v>
      </c>
      <c r="C7" s="11">
        <v>-629.80087268428997</v>
      </c>
      <c r="D7" s="12">
        <v>-629.800820050016</v>
      </c>
      <c r="E7" s="13">
        <v>0.19473199999999999</v>
      </c>
      <c r="F7" s="13">
        <v>0.26393</v>
      </c>
      <c r="G7" s="14">
        <f>D7+E7</f>
        <v>-629.60608805001596</v>
      </c>
      <c r="H7" s="14">
        <f>D7+F7</f>
        <v>-629.53689005001604</v>
      </c>
      <c r="I7" s="14"/>
      <c r="J7" s="14"/>
    </row>
    <row r="8" spans="1:10">
      <c r="A8" s="9" t="s">
        <v>9</v>
      </c>
      <c r="B8" s="11">
        <v>-629.02284527567895</v>
      </c>
      <c r="C8" s="11">
        <v>-629.79418992373598</v>
      </c>
      <c r="D8" s="12">
        <v>-629.79405513633799</v>
      </c>
      <c r="E8" s="13">
        <v>0.199493</v>
      </c>
      <c r="F8" s="13">
        <v>0.26396700000000001</v>
      </c>
      <c r="G8" s="14">
        <f>D8+E8</f>
        <v>-629.59456213633803</v>
      </c>
      <c r="H8" s="14">
        <f>D8+F8</f>
        <v>-629.53008813633801</v>
      </c>
      <c r="I8" s="14">
        <f>(G8-G7)*627.5095</f>
        <v>7.2326203290801718</v>
      </c>
      <c r="J8" s="14"/>
    </row>
    <row r="9" spans="1:10">
      <c r="A9" s="9" t="s">
        <v>10</v>
      </c>
      <c r="B9" s="11">
        <v>-629.02216432144303</v>
      </c>
      <c r="C9" s="11">
        <v>-629.87260388368099</v>
      </c>
      <c r="D9" s="12">
        <v>-629.87243264348899</v>
      </c>
      <c r="E9" s="13">
        <v>0.20658699999999999</v>
      </c>
      <c r="F9" s="13">
        <v>0.26975700000000002</v>
      </c>
      <c r="G9" s="14">
        <f>D9+E9</f>
        <v>-629.66584564348898</v>
      </c>
      <c r="H9" s="14">
        <f>D9+F9</f>
        <v>-629.60267564348896</v>
      </c>
      <c r="I9" s="14"/>
      <c r="J9" s="14">
        <f>(H7-H9)*627.5095</f>
        <v>41.28108486739788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3BFE-C874-4D50-8059-79261FEB8F49}">
  <dimension ref="A6:J9"/>
  <sheetViews>
    <sheetView workbookViewId="0">
      <selection activeCell="F15" sqref="F15"/>
    </sheetView>
  </sheetViews>
  <sheetFormatPr defaultRowHeight="16.5"/>
  <cols>
    <col min="1" max="12" width="13.375" customWidth="1"/>
  </cols>
  <sheetData>
    <row r="6" spans="1:10">
      <c r="A6" s="9"/>
      <c r="B6" s="9" t="s">
        <v>11</v>
      </c>
      <c r="C6" s="9" t="s">
        <v>0</v>
      </c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7</v>
      </c>
    </row>
    <row r="7" spans="1:10">
      <c r="A7" s="9" t="s">
        <v>8</v>
      </c>
      <c r="B7" s="11">
        <v>-648.25995328565102</v>
      </c>
      <c r="C7" s="11">
        <v>-649.05038799110503</v>
      </c>
      <c r="D7" s="12">
        <v>-649.05034401868795</v>
      </c>
      <c r="E7" s="13">
        <v>0.22759599999999999</v>
      </c>
      <c r="F7" s="13">
        <v>0.30594100000000002</v>
      </c>
      <c r="G7" s="14">
        <f>D7+E7</f>
        <v>-648.822748018688</v>
      </c>
      <c r="H7" s="14">
        <f>D7+F7</f>
        <v>-648.74440301868799</v>
      </c>
      <c r="I7" s="14"/>
      <c r="J7" s="14"/>
    </row>
    <row r="8" spans="1:10">
      <c r="A8" s="9" t="s">
        <v>9</v>
      </c>
      <c r="B8" s="11">
        <v>-648.21486364957104</v>
      </c>
      <c r="C8" s="11">
        <v>-649.04234523704099</v>
      </c>
      <c r="D8" s="12">
        <v>-649.04224569394705</v>
      </c>
      <c r="E8" s="13">
        <v>0.239179</v>
      </c>
      <c r="F8" s="13">
        <v>0.30418600000000001</v>
      </c>
      <c r="G8" s="14">
        <f>C8+E8</f>
        <v>-648.80316623704095</v>
      </c>
      <c r="H8" s="14">
        <f>D8+F8</f>
        <v>-648.73805969394709</v>
      </c>
      <c r="I8" s="14">
        <f>(G8-G7)*627.5095</f>
        <v>12.287754010448296</v>
      </c>
      <c r="J8" s="14"/>
    </row>
    <row r="9" spans="1:10">
      <c r="A9" s="9" t="s">
        <v>10</v>
      </c>
      <c r="B9" s="11">
        <v>-648.21298342626801</v>
      </c>
      <c r="C9" s="11">
        <v>-649.12321998115897</v>
      </c>
      <c r="D9" s="12">
        <v>-649.12304719383997</v>
      </c>
      <c r="E9" s="13">
        <v>0.24490200000000001</v>
      </c>
      <c r="F9" s="13">
        <v>0.310056</v>
      </c>
      <c r="G9" s="14">
        <f>C9+E9</f>
        <v>-648.87831798115894</v>
      </c>
      <c r="H9" s="14">
        <f>D9+F9</f>
        <v>-648.81299119383993</v>
      </c>
      <c r="I9" s="14"/>
      <c r="J9" s="14">
        <f>(H7-H9)*627.5095</f>
        <v>43.03973149550918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6167-38F9-43E9-AC9B-43A12779AE55}">
  <dimension ref="A6:J9"/>
  <sheetViews>
    <sheetView workbookViewId="0">
      <selection activeCell="E16" sqref="E16"/>
    </sheetView>
  </sheetViews>
  <sheetFormatPr defaultRowHeight="16.5"/>
  <cols>
    <col min="1" max="12" width="13.375" customWidth="1"/>
  </cols>
  <sheetData>
    <row r="6" spans="1:10">
      <c r="A6" s="9"/>
      <c r="B6" s="9" t="s">
        <v>11</v>
      </c>
      <c r="C6" s="9" t="s">
        <v>0</v>
      </c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7</v>
      </c>
    </row>
    <row r="7" spans="1:10">
      <c r="A7" s="9" t="s">
        <v>8</v>
      </c>
      <c r="B7" s="11">
        <v>-590.02822533257495</v>
      </c>
      <c r="C7" s="11">
        <v>-590.72685338739495</v>
      </c>
      <c r="D7" s="12">
        <v>-590.72680944493698</v>
      </c>
      <c r="E7" s="13">
        <v>0.16368099999999999</v>
      </c>
      <c r="F7" s="13">
        <v>0.23511399999999999</v>
      </c>
      <c r="G7" s="14">
        <f>D7+E7</f>
        <v>-590.56312844493698</v>
      </c>
      <c r="H7" s="14">
        <f>D7+F7</f>
        <v>-590.49169544493702</v>
      </c>
      <c r="I7" s="14"/>
      <c r="J7" s="14"/>
    </row>
    <row r="8" spans="1:10">
      <c r="A8" s="9" t="s">
        <v>9</v>
      </c>
      <c r="B8" s="11">
        <v>-589.98241246202304</v>
      </c>
      <c r="C8" s="11">
        <v>-590.71530565406294</v>
      </c>
      <c r="D8" s="12">
        <v>-590.71520717459703</v>
      </c>
      <c r="E8" s="13">
        <v>0.17477300000000001</v>
      </c>
      <c r="F8" s="13">
        <v>0.23480500000000001</v>
      </c>
      <c r="G8" s="14">
        <f>D8+E8</f>
        <v>-590.54043417459707</v>
      </c>
      <c r="H8" s="14">
        <f>D8+F8</f>
        <v>-590.48040217459697</v>
      </c>
      <c r="I8" s="14">
        <f>(G8-G7)*627.5095</f>
        <v>14.240870233862871</v>
      </c>
      <c r="J8" s="14"/>
    </row>
    <row r="9" spans="1:10">
      <c r="A9" s="9" t="s">
        <v>10</v>
      </c>
      <c r="B9" s="11">
        <v>-589.98418281701595</v>
      </c>
      <c r="C9" s="11">
        <v>-590.79461611806198</v>
      </c>
      <c r="D9" s="12">
        <v>-590.79446197695404</v>
      </c>
      <c r="E9" s="13">
        <v>0.18134600000000001</v>
      </c>
      <c r="F9" s="13">
        <v>0.240897</v>
      </c>
      <c r="G9" s="14">
        <f>D9+E9</f>
        <v>-590.61311597695408</v>
      </c>
      <c r="H9" s="14">
        <f>D9+F9</f>
        <v>-590.55356497695402</v>
      </c>
      <c r="I9" s="14"/>
      <c r="J9" s="14">
        <f>(H7-H9)*627.5095</f>
        <v>38.82371910122108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DAB3-B766-433F-BC07-BFE1F2FFF6FD}">
  <dimension ref="A6:J9"/>
  <sheetViews>
    <sheetView tabSelected="1" workbookViewId="0">
      <selection activeCell="J9" sqref="J9"/>
    </sheetView>
  </sheetViews>
  <sheetFormatPr defaultRowHeight="16.5"/>
  <cols>
    <col min="1" max="12" width="13.375" customWidth="1"/>
  </cols>
  <sheetData>
    <row r="6" spans="1:10">
      <c r="A6" s="9"/>
      <c r="B6" s="9" t="s">
        <v>11</v>
      </c>
      <c r="C6" s="9" t="s">
        <v>0</v>
      </c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7</v>
      </c>
    </row>
    <row r="7" spans="1:10">
      <c r="A7" s="9" t="s">
        <v>8</v>
      </c>
      <c r="B7" s="11">
        <v>-707.16045546220596</v>
      </c>
      <c r="C7" s="11">
        <v>-707.97487384674196</v>
      </c>
      <c r="D7" s="12">
        <v>-707.97481866265105</v>
      </c>
      <c r="E7" s="13">
        <v>0.24735499999999999</v>
      </c>
      <c r="F7" s="13">
        <v>0.32119900000000001</v>
      </c>
      <c r="G7" s="14">
        <f>D7+E7</f>
        <v>-707.72746366265108</v>
      </c>
      <c r="H7" s="14">
        <f>D7+F7</f>
        <v>-707.65361966265107</v>
      </c>
      <c r="I7" s="14"/>
      <c r="J7" s="14"/>
    </row>
    <row r="8" spans="1:10">
      <c r="A8" s="9" t="s">
        <v>9</v>
      </c>
      <c r="B8" s="11">
        <v>-707.11573870468601</v>
      </c>
      <c r="C8" s="11">
        <v>-707.97248573823504</v>
      </c>
      <c r="D8" s="12">
        <v>-707.97235781641905</v>
      </c>
      <c r="E8" s="13">
        <v>0.25242300000000001</v>
      </c>
      <c r="F8" s="13">
        <v>0.32296999999999998</v>
      </c>
      <c r="G8" s="14">
        <f>D8+E8</f>
        <v>-707.71993481641903</v>
      </c>
      <c r="H8" s="14">
        <f>D8+F8</f>
        <v>-707.64938781641899</v>
      </c>
      <c r="I8" s="14">
        <f>(G8-G7)*627.5095</f>
        <v>4.7244225346497233</v>
      </c>
      <c r="J8" s="14"/>
    </row>
    <row r="9" spans="1:10">
      <c r="A9" s="9" t="s">
        <v>10</v>
      </c>
      <c r="B9" s="11">
        <v>-707.11846669348699</v>
      </c>
      <c r="C9" s="11">
        <v>-708.05265894470097</v>
      </c>
      <c r="D9" s="12">
        <v>-708.05249886783997</v>
      </c>
      <c r="E9" s="13">
        <v>0.25881399999999999</v>
      </c>
      <c r="F9" s="13">
        <v>0.32852199999999998</v>
      </c>
      <c r="G9" s="14">
        <f>D9+E9</f>
        <v>-707.79368486783994</v>
      </c>
      <c r="H9" s="14">
        <f>D9+F9</f>
        <v>-707.72397686783995</v>
      </c>
      <c r="I9" s="14"/>
      <c r="J9" s="14">
        <f>(H7-H9)*627.5095</f>
        <v>44.149814649474074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DMAB</vt:lpstr>
      <vt:lpstr>DEAE</vt:lpstr>
      <vt:lpstr>TMPAD</vt:lpstr>
      <vt:lpstr>3DMA1P</vt:lpstr>
      <vt:lpstr>DEAB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강두형/Doohyung Kang/qunova</dc:creator>
  <cp:lastModifiedBy>강두형/Doohyung Kang/qunova</cp:lastModifiedBy>
  <dcterms:created xsi:type="dcterms:W3CDTF">2026-09-10T06:48:54Z</dcterms:created>
  <dcterms:modified xsi:type="dcterms:W3CDTF">2026-09-10T07:05:25Z</dcterms:modified>
</cp:coreProperties>
</file>